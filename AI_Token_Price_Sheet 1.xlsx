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CB04F58C-1C8A-441C-8CD1-86DF990D379F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Price Sheet" sheetId="1" r:id="rId1"/>
    <sheet name="Cost Calculator" sheetId="2" r:id="rId2"/>
    <sheet name="Source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<sst xmlns="http://schemas.openxmlformats.org/spreadsheetml/2006/main" count="95" uniqueCount="54">
  <si>
    <t>AI Token Price Sheet | Representative API Models</t>
  </si>
  <si>
    <t>USD per 1 million tokens | Snapshot: September 8, 2026 | Direct API list prices unless noted</t>
  </si>
  <si>
    <t>Provider</t>
  </si>
  <si>
    <t>Model</t>
  </si>
  <si>
    <t>Tier</t>
  </si>
  <si>
    <t>Input $/1M</t>
  </si>
  <si>
    <t>Cached Input $/1M</t>
  </si>
  <si>
    <t>Output $/1M</t>
  </si>
  <si>
    <t>Example: 1M In + 1M Out</t>
  </si>
  <si>
    <t>Pricing note</t>
  </si>
  <si>
    <t>Effective / checked</t>
  </si>
  <si>
    <t>Source</t>
  </si>
  <si>
    <t>OpenAI</t>
  </si>
  <si>
    <t>gpt-5.6-sol</t>
  </si>
  <si>
    <t>Premium</t>
  </si>
  <si>
    <t>Standard short-context; promotional rate stated through at least Nov 21, 2026</t>
  </si>
  <si>
    <t>2026-09-08</t>
  </si>
  <si>
    <t>https://developers.openai.com/api/docs/pricing</t>
  </si>
  <si>
    <t>gpt-5.6-terra</t>
  </si>
  <si>
    <t>Balanced</t>
  </si>
  <si>
    <t>Standard short-context</t>
  </si>
  <si>
    <t>gpt-5.6-luna</t>
  </si>
  <si>
    <t>Budget</t>
  </si>
  <si>
    <t>Anthropic</t>
  </si>
  <si>
    <t>Claude Opus 5</t>
  </si>
  <si>
    <t>Cache-hit rate shown; cache-write rates differ</t>
  </si>
  <si>
    <t>https://platform.claude.com/docs/en/about-claude/pricing</t>
  </si>
  <si>
    <t>Claude Sonnet 5</t>
  </si>
  <si>
    <t>Standard price; cache-hit rate shown</t>
  </si>
  <si>
    <t>Claude Haiku 4.5</t>
  </si>
  <si>
    <t>Cache-hit rate shown</t>
  </si>
  <si>
    <t>Google</t>
  </si>
  <si>
    <t>Gemini 3.8 Flash</t>
  </si>
  <si>
    <t>Promotional paid rate through Dec 31, 2026; output includes thinking tokens</t>
  </si>
  <si>
    <t>https://ai.google.dev/gemini-api/docs/pricing</t>
  </si>
  <si>
    <t>Gemini 2.5 Pro</t>
  </si>
  <si>
    <t>Representative standard paid tier; verify context-length rules</t>
  </si>
  <si>
    <t>Gemini 2.5 Flash-Lite</t>
  </si>
  <si>
    <t>Representative standard paid tier</t>
  </si>
  <si>
    <t>Notes</t>
  </si>
  <si>
    <t>Pricing changes frequently. Cloud-hosted rates on Azure AI Foundry, Amazon Bedrock, Vertex AI, or internal chargeback agreements may differ from direct provider rates.</t>
  </si>
  <si>
    <t>Token Cost Calculator</t>
  </si>
  <si>
    <t>Input tokens</t>
  </si>
  <si>
    <t>Cached input tokens</t>
  </si>
  <si>
    <t>Output tokens</t>
  </si>
  <si>
    <t>Estimated cost</t>
  </si>
  <si>
    <t>Formula</t>
  </si>
  <si>
    <t>Input cost + cached-input cost + output cost</t>
  </si>
  <si>
    <t>Official pricing page</t>
  </si>
  <si>
    <t>Checked</t>
  </si>
  <si>
    <t>Scope</t>
  </si>
  <si>
    <t>Direct API standard prices</t>
  </si>
  <si>
    <t>Direct Claude API prices</t>
  </si>
  <si>
    <t>Gemini Developer API paid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</si>
</sst>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0"/>
    <numFmt numFmtId="165" formatCode="\$0.0000"/>
  </numFmts>
  <fonts count="9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rgb="FF008000"/>
      <name val="Cambria"/>
      <charset val="1"/>
    </font>
    <font>
      <sz val="11"/>
      <color rgb="FF666666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b/>
      <sz val="14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6365C"/>
        <bgColor rgb="FF333333"/>
      </patternFill>
    </fill>
    <fill>
      <patternFill patternType="solid">
        <fgColor rgb="FFFCE4D6"/>
        <bgColor rgb="FFDDEBF7"/>
      </patternFill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 applyAlignment="1">
      <alignment wrapText="1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3" fillId="2" borderId="0" xfId="0" applyFont="1" applyFill="1"/>
    <xf numFmtId="0" fontId="6" fillId="0" borderId="0" xfId="0" applyFont="1"/>
    <xf numFmtId="0" fontId="7" fillId="0" borderId="0" xfId="0" applyFont="1"/>
    <xf numFmtId="165" fontId="8" fillId="4" borderId="0" xfId="0" applyNumberFormat="1" applyFont="1" applyFill="1"/>
    <xf numFmtId="0" fontId="2" fillId="0" borderId="0" xfId="0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636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kenPrices" displayName="TokenPrices" ref="A4:J13" totalsRowShown="0">
  <autoFilter ref="A4:J13" xr:uid="{00000000-0009-0000-0100-000001000000}"/>
  <tableColumns count="10">
    <tableColumn id="1" xr3:uid="{00000000-0010-0000-0000-000001000000}" name="Provider"/>
    <tableColumn id="2" xr3:uid="{00000000-0010-0000-0000-000002000000}" name="Model"/>
    <tableColumn id="3" xr3:uid="{00000000-0010-0000-0000-000003000000}" name="Tier"/>
    <tableColumn id="4" xr3:uid="{00000000-0010-0000-0000-000004000000}" name="Input $/1M"/>
    <tableColumn id="5" xr3:uid="{00000000-0010-0000-0000-000005000000}" name="Cached Input $/1M"/>
    <tableColumn id="6" xr3:uid="{00000000-0010-0000-0000-000006000000}" name="Output $/1M"/>
    <tableColumn id="7" xr3:uid="{00000000-0010-0000-0000-000007000000}" name="Example: 1M In + 1M Out"/>
    <tableColumn id="8" xr3:uid="{00000000-0010-0000-0000-000008000000}" name="Pricing note"/>
    <tableColumn id="9" xr3:uid="{00000000-0010-0000-0000-000009000000}" name="Effective / checked"/>
    <tableColumn id="10" xr3:uid="{00000000-0010-0000-0000-00000A000000}" name="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4" customWidth="1"/>
    <col min="2" max="2" width="22" customWidth="1"/>
    <col min="3" max="3" width="12" customWidth="1"/>
    <col min="4" max="4" width="14" customWidth="1"/>
    <col min="5" max="5" width="19" customWidth="1"/>
    <col min="6" max="6" width="15" customWidth="1"/>
    <col min="7" max="7" width="24" customWidth="1"/>
    <col min="8" max="8" width="52" customWidth="1"/>
    <col min="9" max="9" width="18" customWidth="1"/>
    <col min="10" max="10" width="52" customWidth="1"/>
  </cols>
  <sheetData>
    <row r="1" spans="1:10" ht="28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4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6.8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26.85">
      <c r="A5" s="5" t="s">
        <v>12</v>
      </c>
      <c r="B5" s="5" t="s">
        <v>13</v>
      </c>
      <c r="C5" s="6" t="s">
        <v>14</v>
      </c>
      <c r="D5" s="7">
        <v>4</v>
      </c>
      <c r="E5" s="7">
        <v>0.4</v>
      </c>
      <c r="F5" s="7">
        <v>20</v>
      </c>
      <c r="G5" s="8">
        <f>D5+F5</f>
        <v>24</v>
      </c>
      <c r="H5" s="9" t="s">
        <v>15</v>
      </c>
      <c r="I5" s="5" t="s">
        <v>16</v>
      </c>
      <c r="J5" s="9" t="s">
        <v>17</v>
      </c>
    </row>
    <row r="6" spans="1:10">
      <c r="A6" s="5" t="s">
        <v>12</v>
      </c>
      <c r="B6" s="5" t="s">
        <v>18</v>
      </c>
      <c r="C6" s="6" t="s">
        <v>19</v>
      </c>
      <c r="D6" s="7">
        <v>2</v>
      </c>
      <c r="E6" s="7">
        <v>0.2</v>
      </c>
      <c r="F6" s="7">
        <v>12</v>
      </c>
      <c r="G6" s="8">
        <f>D6+F6</f>
        <v>14</v>
      </c>
      <c r="H6" s="9" t="s">
        <v>20</v>
      </c>
      <c r="I6" s="5" t="s">
        <v>16</v>
      </c>
      <c r="J6" s="9" t="s">
        <v>17</v>
      </c>
    </row>
    <row r="7" spans="1:10">
      <c r="A7" s="5" t="s">
        <v>12</v>
      </c>
      <c r="B7" s="5" t="s">
        <v>21</v>
      </c>
      <c r="C7" s="6" t="s">
        <v>22</v>
      </c>
      <c r="D7" s="7">
        <v>0.2</v>
      </c>
      <c r="E7" s="7">
        <v>0.02</v>
      </c>
      <c r="F7" s="7">
        <v>1.2</v>
      </c>
      <c r="G7" s="8">
        <f>D7+F7</f>
        <v>1.4</v>
      </c>
      <c r="H7" s="9" t="s">
        <v>20</v>
      </c>
      <c r="I7" s="5" t="s">
        <v>16</v>
      </c>
      <c r="J7" s="9" t="s">
        <v>17</v>
      </c>
    </row>
    <row r="8" spans="1:10" ht="26.85">
      <c r="A8" s="5" t="s">
        <v>23</v>
      </c>
      <c r="B8" s="5" t="s">
        <v>24</v>
      </c>
      <c r="C8" s="6" t="s">
        <v>14</v>
      </c>
      <c r="D8" s="7">
        <v>5</v>
      </c>
      <c r="E8" s="7">
        <v>0.5</v>
      </c>
      <c r="F8" s="7">
        <v>25</v>
      </c>
      <c r="G8" s="8">
        <f>D8+F8</f>
        <v>30</v>
      </c>
      <c r="H8" s="9" t="s">
        <v>25</v>
      </c>
      <c r="I8" s="5" t="s">
        <v>16</v>
      </c>
      <c r="J8" s="9" t="s">
        <v>26</v>
      </c>
    </row>
    <row r="9" spans="1:10" ht="26.85">
      <c r="A9" s="5" t="s">
        <v>23</v>
      </c>
      <c r="B9" s="5" t="s">
        <v>27</v>
      </c>
      <c r="C9" s="6" t="s">
        <v>19</v>
      </c>
      <c r="D9" s="7">
        <v>2</v>
      </c>
      <c r="E9" s="7">
        <v>0.2</v>
      </c>
      <c r="F9" s="7">
        <v>10</v>
      </c>
      <c r="G9" s="8">
        <f>D9+F9</f>
        <v>12</v>
      </c>
      <c r="H9" s="9" t="s">
        <v>28</v>
      </c>
      <c r="I9" s="5" t="s">
        <v>16</v>
      </c>
      <c r="J9" s="9" t="s">
        <v>26</v>
      </c>
    </row>
    <row r="10" spans="1:10" ht="26.85">
      <c r="A10" s="5" t="s">
        <v>23</v>
      </c>
      <c r="B10" s="5" t="s">
        <v>29</v>
      </c>
      <c r="C10" s="6" t="s">
        <v>22</v>
      </c>
      <c r="D10" s="7">
        <v>1</v>
      </c>
      <c r="E10" s="7">
        <v>0.1</v>
      </c>
      <c r="F10" s="7">
        <v>5</v>
      </c>
      <c r="G10" s="8">
        <f>D10+F10</f>
        <v>6</v>
      </c>
      <c r="H10" s="9" t="s">
        <v>30</v>
      </c>
      <c r="I10" s="5" t="s">
        <v>16</v>
      </c>
      <c r="J10" s="9" t="s">
        <v>26</v>
      </c>
    </row>
    <row r="11" spans="1:10" ht="26.85">
      <c r="A11" s="5" t="s">
        <v>31</v>
      </c>
      <c r="B11" s="5" t="s">
        <v>32</v>
      </c>
      <c r="C11" s="6" t="s">
        <v>19</v>
      </c>
      <c r="D11" s="7">
        <v>0.75</v>
      </c>
      <c r="E11" s="7">
        <v>7.4999999999999997E-2</v>
      </c>
      <c r="F11" s="7">
        <v>3.75</v>
      </c>
      <c r="G11" s="8">
        <f>D11+F11</f>
        <v>4.5</v>
      </c>
      <c r="H11" s="9" t="s">
        <v>33</v>
      </c>
      <c r="I11" s="5" t="s">
        <v>16</v>
      </c>
      <c r="J11" s="9" t="s">
        <v>34</v>
      </c>
    </row>
    <row r="12" spans="1:10" ht="26.85">
      <c r="A12" s="5" t="s">
        <v>31</v>
      </c>
      <c r="B12" s="5" t="s">
        <v>35</v>
      </c>
      <c r="C12" s="6" t="s">
        <v>14</v>
      </c>
      <c r="D12" s="7">
        <v>1.25</v>
      </c>
      <c r="E12" s="7">
        <v>0.125</v>
      </c>
      <c r="F12" s="7">
        <v>10</v>
      </c>
      <c r="G12" s="8">
        <f>D12+F12</f>
        <v>11.25</v>
      </c>
      <c r="H12" s="9" t="s">
        <v>36</v>
      </c>
      <c r="I12" s="5" t="s">
        <v>16</v>
      </c>
      <c r="J12" s="9" t="s">
        <v>34</v>
      </c>
    </row>
    <row r="13" spans="1:10">
      <c r="A13" s="5" t="s">
        <v>31</v>
      </c>
      <c r="B13" s="5" t="s">
        <v>37</v>
      </c>
      <c r="C13" s="6" t="s">
        <v>22</v>
      </c>
      <c r="D13" s="7">
        <v>0.1</v>
      </c>
      <c r="E13" s="7">
        <v>0.01</v>
      </c>
      <c r="F13" s="7">
        <v>0.4</v>
      </c>
      <c r="G13" s="8">
        <f>D13+F13</f>
        <v>0.5</v>
      </c>
      <c r="H13" s="9" t="s">
        <v>38</v>
      </c>
      <c r="I13" s="5" t="s">
        <v>16</v>
      </c>
      <c r="J13" s="9" t="s">
        <v>34</v>
      </c>
    </row>
    <row r="16" spans="1:10">
      <c r="A16" s="10" t="s">
        <v>39</v>
      </c>
    </row>
    <row r="17" spans="1:10" ht="33.75" customHeight="1">
      <c r="A17" s="1" t="s">
        <v>40</v>
      </c>
      <c r="B17" s="1"/>
      <c r="C17" s="1"/>
      <c r="D17" s="1"/>
      <c r="E17" s="1"/>
      <c r="F17" s="1"/>
      <c r="G17" s="1"/>
      <c r="H17" s="1"/>
      <c r="I17" s="1"/>
      <c r="J17" s="1"/>
    </row>
  </sheetData>
  <mergeCells count="3">
    <mergeCell ref="A1:J1"/>
    <mergeCell ref="A2:J2"/>
    <mergeCell ref="A17:J17"/>
  </mergeCells>
  <conditionalFormatting sqref="G5:G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24" customWidth="1"/>
    <col min="2" max="2" width="28" customWidth="1"/>
    <col min="3" max="6" width="5" customWidth="1"/>
  </cols>
  <sheetData>
    <row r="1" spans="1:6" ht="22.15">
      <c r="A1" s="15" t="s">
        <v>41</v>
      </c>
      <c r="B1" s="15"/>
      <c r="C1" s="15"/>
      <c r="D1" s="15"/>
      <c r="E1" s="15"/>
      <c r="F1" s="15"/>
    </row>
    <row r="3" spans="1:6" ht="24" customHeight="1">
      <c r="A3" s="11" t="s">
        <v>2</v>
      </c>
      <c r="B3" s="12" t="s">
        <v>12</v>
      </c>
    </row>
    <row r="4" spans="1:6" ht="24" customHeight="1">
      <c r="A4" s="11" t="s">
        <v>3</v>
      </c>
      <c r="B4" s="12" t="s">
        <v>18</v>
      </c>
    </row>
    <row r="6" spans="1:6" ht="24" customHeight="1">
      <c r="A6" s="11" t="s">
        <v>42</v>
      </c>
      <c r="B6" s="12">
        <v>1000000</v>
      </c>
    </row>
    <row r="7" spans="1:6" ht="24" customHeight="1">
      <c r="A7" s="11" t="s">
        <v>43</v>
      </c>
      <c r="B7" s="12">
        <v>0</v>
      </c>
    </row>
    <row r="8" spans="1:6" ht="24" customHeight="1">
      <c r="A8" s="11" t="s">
        <v>44</v>
      </c>
      <c r="B8" s="12">
        <v>250000</v>
      </c>
    </row>
    <row r="10" spans="1:6" ht="24" customHeight="1">
      <c r="A10" s="11" t="s">
        <v>45</v>
      </c>
      <c r="B10" s="13">
        <f>SUMIFS('Price Sheet'!$D$5:$D$13,'Price Sheet'!$A$5:$A$13,B3,'Price Sheet'!$B$5:$B$13,B4)*B6/1000000+SUMIFS('Price Sheet'!$E$5:$E$13,'Price Sheet'!$A$5:$A$13,B3,'Price Sheet'!$B$5:$B$13,B4)*B7/1000000+SUMIFS('Price Sheet'!$F$5:$F$13,'Price Sheet'!$A$5:$A$13,B3,'Price Sheet'!$B$5:$B$13,B4)*B8/1000000</f>
        <v>5</v>
      </c>
    </row>
    <row r="12" spans="1:6">
      <c r="A12" t="s">
        <v>46</v>
      </c>
      <c r="B12" s="3" t="s">
        <v>47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4" customWidth="1"/>
    <col min="2" max="2" width="62" customWidth="1"/>
    <col min="3" max="3" width="16" customWidth="1"/>
    <col min="4" max="4" width="34" customWidth="1"/>
  </cols>
  <sheetData>
    <row r="1" spans="1:4">
      <c r="A1" s="10" t="s">
        <v>2</v>
      </c>
      <c r="B1" s="10" t="s">
        <v>48</v>
      </c>
      <c r="C1" s="10" t="s">
        <v>49</v>
      </c>
      <c r="D1" s="10" t="s">
        <v>50</v>
      </c>
    </row>
    <row r="2" spans="1:4">
      <c r="A2" s="9" t="s">
        <v>12</v>
      </c>
      <c r="B2" s="9" t="s">
        <v>17</v>
      </c>
      <c r="C2" s="9" t="s">
        <v>16</v>
      </c>
      <c r="D2" s="9" t="s">
        <v>51</v>
      </c>
    </row>
    <row r="3" spans="1:4">
      <c r="A3" s="9" t="s">
        <v>23</v>
      </c>
      <c r="B3" s="9" t="s">
        <v>26</v>
      </c>
      <c r="C3" s="9" t="s">
        <v>16</v>
      </c>
      <c r="D3" s="9" t="s">
        <v>52</v>
      </c>
    </row>
    <row r="4" spans="1:4">
      <c r="A4" s="9" t="s">
        <v>31</v>
      </c>
      <c r="B4" s="9" t="s">
        <v>34</v>
      </c>
      <c r="C4" s="9" t="s">
        <v>16</v>
      </c>
      <c r="D4" s="9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Tan, Qi (Lilly)</dc:creator>
  <cp:keywords/>
  <dc:description/>
  <cp:lastModifiedBy/>
  <cp:revision>0</cp:revision>
  <dcterms:created xsi:type="dcterms:W3CDTF">2026-09-09T01:29:42Z</dcterms:created>
  <dcterms:modified xsi:type="dcterms:W3CDTF">2026-09-09T01:50:47Z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2026-09-09T01:29:42Z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9ff882cb-f6de-418b-af24-2ffc24c55c03</vt:lpwstr>
  </property>
  <property fmtid="{D5CDD505-2E9C-101B-9397-08002B2CF9AE}" pid="8" name="MSIP_Label_c10eab11-f9db-49ae-a11f-d1cb7a96399a_ContentBits">
    <vt:lpwstr>0</vt:lpwstr>
  </property>
</Properties>
</file>